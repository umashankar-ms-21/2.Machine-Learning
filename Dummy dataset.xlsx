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OPE\AI Course Tamil\2.Machine Learning\"/>
    </mc:Choice>
  </mc:AlternateContent>
  <xr:revisionPtr revIDLastSave="0" documentId="13_ncr:1_{B9D96C1B-6E4B-44D5-AD0F-2F1D3501CA64}" xr6:coauthVersionLast="47" xr6:coauthVersionMax="47" xr10:uidLastSave="{00000000-0000-0000-0000-000000000000}"/>
  <bookViews>
    <workbookView xWindow="-110" yWindow="-110" windowWidth="19420" windowHeight="10420" xr2:uid="{AE86FE1D-C436-46B2-9663-F9ACE7515232}"/>
  </bookViews>
  <sheets>
    <sheet name="Dataset" sheetId="2" r:id="rId1"/>
  </sheets>
  <definedNames>
    <definedName name="_xlnm._FilterDatabase" localSheetId="0" hidden="1">Dataset!$A$1:$P$14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P3" i="2" s="1" a="1"/>
  <c r="P3" i="2" s="1"/>
  <c r="N4" i="2"/>
  <c r="P4" i="2" s="1" a="1"/>
  <c r="P4" i="2" s="1"/>
  <c r="N5" i="2"/>
  <c r="P5" i="2" s="1" a="1"/>
  <c r="P5" i="2" s="1"/>
  <c r="N6" i="2"/>
  <c r="P6" i="2" s="1" a="1"/>
  <c r="P6" i="2" s="1"/>
  <c r="N7" i="2"/>
  <c r="P7" i="2" s="1" a="1"/>
  <c r="P7" i="2" s="1"/>
  <c r="N8" i="2"/>
  <c r="P8" i="2" s="1" a="1"/>
  <c r="P8" i="2" s="1"/>
  <c r="N9" i="2"/>
  <c r="P9" i="2" s="1" a="1"/>
  <c r="P9" i="2" s="1"/>
  <c r="N10" i="2"/>
  <c r="P10" i="2" s="1" a="1"/>
  <c r="P10" i="2" s="1"/>
  <c r="N11" i="2"/>
  <c r="P11" i="2" s="1" a="1"/>
  <c r="P11" i="2" s="1"/>
  <c r="N12" i="2"/>
  <c r="P12" i="2" s="1" a="1"/>
  <c r="P12" i="2" s="1"/>
  <c r="N13" i="2"/>
  <c r="P13" i="2" s="1" a="1"/>
  <c r="P13" i="2" s="1"/>
  <c r="N14" i="2"/>
  <c r="P14" i="2" s="1" a="1"/>
  <c r="P14" i="2" s="1"/>
  <c r="N2" i="2"/>
  <c r="P2" i="2" s="1" a="1"/>
  <c r="P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<sst xmlns="http://schemas.openxmlformats.org/spreadsheetml/2006/main" count="81" uniqueCount="42">
  <si>
    <t>Emp. Name</t>
  </si>
  <si>
    <t>Emp. Code</t>
  </si>
  <si>
    <t>Designation</t>
  </si>
  <si>
    <t>Grade</t>
  </si>
  <si>
    <t>DOJ</t>
  </si>
  <si>
    <t>S,No.</t>
  </si>
  <si>
    <t>Jr.Consultant</t>
  </si>
  <si>
    <t>Sr.Consultant</t>
  </si>
  <si>
    <t>Aadhikesavan H</t>
  </si>
  <si>
    <t>Bharathkumar J</t>
  </si>
  <si>
    <t>Chandrika K</t>
  </si>
  <si>
    <t>Dhanasekar B</t>
  </si>
  <si>
    <t>Deepak V</t>
  </si>
  <si>
    <t>Project Manager</t>
  </si>
  <si>
    <t>Pragadheesh S</t>
  </si>
  <si>
    <t>Vimalkumar S</t>
  </si>
  <si>
    <t>Kamesh V</t>
  </si>
  <si>
    <t>Role</t>
  </si>
  <si>
    <t>Vijayakumar A</t>
  </si>
  <si>
    <t>Priyanka V</t>
  </si>
  <si>
    <t>Ramesh M</t>
  </si>
  <si>
    <t>AVP</t>
  </si>
  <si>
    <t>Sundar M</t>
  </si>
  <si>
    <t>VP</t>
  </si>
  <si>
    <t>FullStack</t>
  </si>
  <si>
    <t>Architect</t>
  </si>
  <si>
    <t>SWE</t>
  </si>
  <si>
    <t>Tower Head</t>
  </si>
  <si>
    <t>Project Head</t>
  </si>
  <si>
    <t>SwisTek</t>
  </si>
  <si>
    <t>Magesh T</t>
  </si>
  <si>
    <t>FinLea</t>
  </si>
  <si>
    <t>AvivaStocks</t>
  </si>
  <si>
    <t>MainStream</t>
  </si>
  <si>
    <t>Exp.in years</t>
  </si>
  <si>
    <t>Performance on project 1 - 5</t>
  </si>
  <si>
    <t>Annual Leave 24days</t>
  </si>
  <si>
    <t>Project 1</t>
  </si>
  <si>
    <t>Project 2</t>
  </si>
  <si>
    <t>Overall appraisal rating 1 - 5</t>
  </si>
  <si>
    <t>Behaviourial Performance 1 - 5</t>
  </si>
  <si>
    <t>Resigned 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</si>
</sst>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71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5" fontId="0" fillId="0" borderId="1" xfId="0" applyNumberFormat="1" applyBorder="1"/>
    <xf numFmtId="164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1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/>
    </xf>
    <xf numFmtId="43" fontId="2" fillId="0" borderId="1" xfId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90B3-E9C0-4D60-8053-9CEE6BE2D943}">
  <dimension ref="A1:P16"/>
  <sheetViews>
    <sheetView tabSelected="1" zoomScaleNormal="100" workbookViewId="0"/>
  </sheetViews>
  <sheetFormatPr defaultRowHeight="14.5" x14ac:dyDescent="0.35"/>
  <cols>
    <col min="1" max="1" width="5.1796875" bestFit="1" customWidth="1"/>
    <col min="2" max="2" width="13.7265625" bestFit="1" customWidth="1"/>
    <col min="3" max="3" width="7.54296875" style="1" customWidth="1"/>
    <col min="4" max="4" width="9.36328125" bestFit="1" customWidth="1"/>
    <col min="5" max="5" width="14.08984375" bestFit="1" customWidth="1"/>
    <col min="6" max="6" width="6.08984375" bestFit="1" customWidth="1"/>
    <col min="7" max="7" width="11.36328125" bestFit="1" customWidth="1"/>
    <col min="8" max="8" width="10.6328125" bestFit="1" customWidth="1"/>
    <col min="9" max="9" width="13.26953125" customWidth="1"/>
    <col min="10" max="10" width="10.453125" bestFit="1" customWidth="1"/>
    <col min="11" max="11" width="14" customWidth="1"/>
    <col min="12" max="12" width="12.08984375" bestFit="1" customWidth="1"/>
    <col min="13" max="13" width="11.81640625" bestFit="1" customWidth="1"/>
    <col min="14" max="14" width="9.54296875" bestFit="1" customWidth="1"/>
    <col min="15" max="15" width="6.453125" bestFit="1" customWidth="1"/>
    <col min="16" max="16" width="11.26953125" customWidth="1"/>
  </cols>
  <sheetData>
    <row r="1" spans="1:16" ht="43.5" x14ac:dyDescent="0.35">
      <c r="A1" s="8" t="s">
        <v>5</v>
      </c>
      <c r="B1" s="8" t="s">
        <v>0</v>
      </c>
      <c r="C1" s="9" t="s">
        <v>1</v>
      </c>
      <c r="D1" s="8" t="s">
        <v>4</v>
      </c>
      <c r="E1" s="8" t="s">
        <v>2</v>
      </c>
      <c r="F1" s="8" t="s">
        <v>3</v>
      </c>
      <c r="G1" s="8" t="s">
        <v>17</v>
      </c>
      <c r="H1" s="8" t="s">
        <v>37</v>
      </c>
      <c r="I1" s="9" t="s">
        <v>35</v>
      </c>
      <c r="J1" s="8" t="s">
        <v>38</v>
      </c>
      <c r="K1" s="9" t="s">
        <v>35</v>
      </c>
      <c r="L1" s="9" t="s">
        <v>36</v>
      </c>
      <c r="M1" s="9" t="s">
        <v>40</v>
      </c>
      <c r="N1" s="9" t="s">
        <v>39</v>
      </c>
      <c r="O1" s="11" t="s">
        <v>34</v>
      </c>
      <c r="P1" s="12" t="s">
        <v>41</v>
      </c>
    </row>
    <row r="2" spans="1:16" x14ac:dyDescent="0.35">
      <c r="A2" s="2">
        <v>1</v>
      </c>
      <c r="B2" s="3" t="s">
        <v>22</v>
      </c>
      <c r="C2" s="3">
        <v>100451</v>
      </c>
      <c r="D2" s="4">
        <v>44064</v>
      </c>
      <c r="E2" s="2" t="s">
        <v>23</v>
      </c>
      <c r="F2" s="2">
        <v>7</v>
      </c>
      <c r="G2" s="2" t="s">
        <v>27</v>
      </c>
      <c r="H2" s="6" t="s">
        <v>33</v>
      </c>
      <c r="I2" s="6">
        <v>5</v>
      </c>
      <c r="J2" s="6" t="s">
        <v>31</v>
      </c>
      <c r="K2" s="6">
        <v>5</v>
      </c>
      <c r="L2" s="6">
        <v>20</v>
      </c>
      <c r="M2" s="6">
        <v>5</v>
      </c>
      <c r="N2" s="10">
        <f>AVERAGE(I2,K2,M2)</f>
        <v>5</v>
      </c>
      <c r="O2" s="5">
        <v>5.6813186813186816</v>
      </c>
      <c r="P2" s="2" t="str" cm="1">
        <f t="array" ref="P2">_xlfn.IFS(OR(N2&lt;3,O2&lt;3),"Yes",TRUE,"No")</f>
        <v>No</v>
      </c>
    </row>
    <row r="3" spans="1:16" x14ac:dyDescent="0.35">
      <c r="A3" s="2">
        <v>2</v>
      </c>
      <c r="B3" s="3" t="s">
        <v>20</v>
      </c>
      <c r="C3" s="3">
        <v>102519</v>
      </c>
      <c r="D3" s="4">
        <v>44303</v>
      </c>
      <c r="E3" s="2" t="s">
        <v>21</v>
      </c>
      <c r="F3" s="2">
        <v>6</v>
      </c>
      <c r="G3" s="2" t="s">
        <v>28</v>
      </c>
      <c r="H3" s="6" t="s">
        <v>32</v>
      </c>
      <c r="I3" s="6">
        <v>5</v>
      </c>
      <c r="J3" s="6" t="s">
        <v>29</v>
      </c>
      <c r="K3" s="6">
        <v>4</v>
      </c>
      <c r="L3" s="6">
        <v>22</v>
      </c>
      <c r="M3" s="6">
        <v>4</v>
      </c>
      <c r="N3" s="10">
        <f t="shared" ref="N3:N14" si="0">AVERAGE(I3,K3,M3)</f>
        <v>4.333333333333333</v>
      </c>
      <c r="O3" s="5">
        <v>5.0247252747252746</v>
      </c>
      <c r="P3" s="2" t="str" cm="1">
        <f t="array" ref="P3">_xlfn.IFS(OR(N3&lt;3,O3&lt;3),"Yes",TRUE,"No")</f>
        <v>No</v>
      </c>
    </row>
    <row r="4" spans="1:16" x14ac:dyDescent="0.35">
      <c r="A4" s="2">
        <v>3</v>
      </c>
      <c r="B4" s="3" t="s">
        <v>15</v>
      </c>
      <c r="C4" s="3">
        <v>104348</v>
      </c>
      <c r="D4" s="4">
        <v>44352</v>
      </c>
      <c r="E4" s="2" t="s">
        <v>13</v>
      </c>
      <c r="F4" s="2">
        <v>4</v>
      </c>
      <c r="G4" s="2" t="s">
        <v>24</v>
      </c>
      <c r="H4" s="2" t="s">
        <v>31</v>
      </c>
      <c r="I4" s="2">
        <v>5</v>
      </c>
      <c r="J4" s="2" t="s">
        <v>32</v>
      </c>
      <c r="K4" s="2">
        <v>5</v>
      </c>
      <c r="L4" s="2">
        <v>26</v>
      </c>
      <c r="M4" s="2">
        <v>4</v>
      </c>
      <c r="N4" s="10">
        <f t="shared" si="0"/>
        <v>4.666666666666667</v>
      </c>
      <c r="O4" s="5">
        <v>4.8901098901098905</v>
      </c>
      <c r="P4" s="2" t="str" cm="1">
        <f t="array" ref="P4">_xlfn.IFS(OR(N4&lt;3,O4&lt;3),"Yes",TRUE,"No")</f>
        <v>No</v>
      </c>
    </row>
    <row r="5" spans="1:16" x14ac:dyDescent="0.35">
      <c r="A5" s="2">
        <v>4</v>
      </c>
      <c r="B5" s="3" t="s">
        <v>14</v>
      </c>
      <c r="C5" s="3">
        <v>106128</v>
      </c>
      <c r="D5" s="4">
        <v>44631</v>
      </c>
      <c r="E5" s="2" t="s">
        <v>13</v>
      </c>
      <c r="F5" s="2">
        <v>4</v>
      </c>
      <c r="G5" s="2" t="s">
        <v>25</v>
      </c>
      <c r="H5" s="2" t="s">
        <v>29</v>
      </c>
      <c r="I5" s="2">
        <v>3</v>
      </c>
      <c r="J5" s="2" t="s">
        <v>31</v>
      </c>
      <c r="K5" s="2">
        <v>3</v>
      </c>
      <c r="L5" s="2">
        <v>25</v>
      </c>
      <c r="M5" s="2">
        <v>3</v>
      </c>
      <c r="N5" s="10">
        <f t="shared" si="0"/>
        <v>3</v>
      </c>
      <c r="O5" s="5">
        <v>4.1236263736263732</v>
      </c>
      <c r="P5" s="2" t="str" cm="1">
        <f t="array" ref="P5">_xlfn.IFS(OR(N5&lt;3,O5&lt;3),"Yes",TRUE,"No")</f>
        <v>No</v>
      </c>
    </row>
    <row r="6" spans="1:16" x14ac:dyDescent="0.35">
      <c r="A6" s="2">
        <v>5</v>
      </c>
      <c r="B6" s="3" t="s">
        <v>30</v>
      </c>
      <c r="C6" s="3">
        <v>107528</v>
      </c>
      <c r="D6" s="4">
        <v>44814</v>
      </c>
      <c r="E6" s="2" t="s">
        <v>13</v>
      </c>
      <c r="F6" s="2">
        <v>4</v>
      </c>
      <c r="G6" s="2" t="s">
        <v>26</v>
      </c>
      <c r="H6" s="2" t="s">
        <v>32</v>
      </c>
      <c r="I6" s="2">
        <v>4</v>
      </c>
      <c r="J6" s="2" t="s">
        <v>29</v>
      </c>
      <c r="K6" s="2">
        <v>4</v>
      </c>
      <c r="L6" s="2">
        <v>20</v>
      </c>
      <c r="M6" s="2">
        <v>4</v>
      </c>
      <c r="N6" s="10">
        <f t="shared" si="0"/>
        <v>4</v>
      </c>
      <c r="O6" s="7">
        <v>3.6</v>
      </c>
      <c r="P6" s="2" t="str" cm="1">
        <f t="array" ref="P6">_xlfn.IFS(OR(N6&lt;3,O6&lt;3),"Yes",TRUE,"No")</f>
        <v>No</v>
      </c>
    </row>
    <row r="7" spans="1:16" x14ac:dyDescent="0.35">
      <c r="A7" s="2">
        <v>6</v>
      </c>
      <c r="B7" s="3" t="s">
        <v>12</v>
      </c>
      <c r="C7" s="3">
        <v>107629</v>
      </c>
      <c r="D7" s="4">
        <v>44671</v>
      </c>
      <c r="E7" s="2" t="s">
        <v>6</v>
      </c>
      <c r="F7" s="2">
        <v>1</v>
      </c>
      <c r="G7" s="2" t="s">
        <v>26</v>
      </c>
      <c r="H7" s="2" t="s">
        <v>32</v>
      </c>
      <c r="I7" s="2">
        <v>3</v>
      </c>
      <c r="J7" s="2" t="s">
        <v>31</v>
      </c>
      <c r="K7" s="2">
        <v>3</v>
      </c>
      <c r="L7" s="2">
        <v>30</v>
      </c>
      <c r="M7" s="2">
        <v>2</v>
      </c>
      <c r="N7" s="10">
        <f t="shared" si="0"/>
        <v>2.6666666666666665</v>
      </c>
      <c r="O7" s="5">
        <v>4.0137362637362637</v>
      </c>
      <c r="P7" s="2" t="str" cm="1">
        <f t="array" ref="P7">_xlfn.IFS(OR(N7&lt;3,O7&lt;3),"Yes",TRUE,"No")</f>
        <v>Yes</v>
      </c>
    </row>
    <row r="8" spans="1:16" x14ac:dyDescent="0.35">
      <c r="A8" s="2">
        <v>7</v>
      </c>
      <c r="B8" s="3" t="s">
        <v>16</v>
      </c>
      <c r="C8" s="3">
        <v>109090</v>
      </c>
      <c r="D8" s="4">
        <v>44686</v>
      </c>
      <c r="E8" s="2" t="s">
        <v>7</v>
      </c>
      <c r="F8" s="2">
        <v>3</v>
      </c>
      <c r="G8" s="2" t="s">
        <v>26</v>
      </c>
      <c r="H8" s="2" t="s">
        <v>32</v>
      </c>
      <c r="I8" s="2">
        <v>5</v>
      </c>
      <c r="J8" s="2" t="s">
        <v>29</v>
      </c>
      <c r="K8" s="2">
        <v>5</v>
      </c>
      <c r="L8" s="2">
        <v>21</v>
      </c>
      <c r="M8" s="2">
        <v>4</v>
      </c>
      <c r="N8" s="10">
        <f t="shared" si="0"/>
        <v>4.666666666666667</v>
      </c>
      <c r="O8" s="5">
        <v>3.9725274725274726</v>
      </c>
      <c r="P8" s="2" t="str" cm="1">
        <f t="array" ref="P8">_xlfn.IFS(OR(N8&lt;3,O8&lt;3),"Yes",TRUE,"No")</f>
        <v>No</v>
      </c>
    </row>
    <row r="9" spans="1:16" x14ac:dyDescent="0.35">
      <c r="A9" s="2">
        <v>8</v>
      </c>
      <c r="B9" s="3" t="s">
        <v>18</v>
      </c>
      <c r="C9" s="3">
        <v>110536</v>
      </c>
      <c r="D9" s="4">
        <v>44867</v>
      </c>
      <c r="E9" s="2" t="s">
        <v>6</v>
      </c>
      <c r="F9" s="2">
        <v>1</v>
      </c>
      <c r="G9" s="2" t="s">
        <v>24</v>
      </c>
      <c r="H9" s="2" t="s">
        <v>31</v>
      </c>
      <c r="I9" s="2">
        <v>4</v>
      </c>
      <c r="J9" s="2" t="s">
        <v>32</v>
      </c>
      <c r="K9" s="2">
        <v>4</v>
      </c>
      <c r="L9" s="2">
        <v>20</v>
      </c>
      <c r="M9" s="2">
        <v>4</v>
      </c>
      <c r="N9" s="10">
        <f t="shared" si="0"/>
        <v>4</v>
      </c>
      <c r="O9" s="5">
        <v>3.4752747252747254</v>
      </c>
      <c r="P9" s="2" t="str" cm="1">
        <f t="array" ref="P9">_xlfn.IFS(OR(N9&lt;3,O9&lt;3),"Yes",TRUE,"No")</f>
        <v>No</v>
      </c>
    </row>
    <row r="10" spans="1:16" x14ac:dyDescent="0.35">
      <c r="A10" s="2">
        <v>9</v>
      </c>
      <c r="B10" s="3" t="s">
        <v>10</v>
      </c>
      <c r="C10" s="3">
        <v>111801</v>
      </c>
      <c r="D10" s="4">
        <v>45701</v>
      </c>
      <c r="E10" s="2" t="s">
        <v>7</v>
      </c>
      <c r="F10" s="2">
        <v>2</v>
      </c>
      <c r="G10" s="2" t="s">
        <v>24</v>
      </c>
      <c r="H10" s="2" t="s">
        <v>31</v>
      </c>
      <c r="I10" s="2">
        <v>2.5</v>
      </c>
      <c r="J10" s="2" t="s">
        <v>32</v>
      </c>
      <c r="K10" s="2">
        <v>2.5</v>
      </c>
      <c r="L10" s="2">
        <v>29</v>
      </c>
      <c r="M10" s="2">
        <v>2.5</v>
      </c>
      <c r="N10" s="10">
        <f t="shared" si="0"/>
        <v>2.5</v>
      </c>
      <c r="O10" s="5">
        <v>1.2</v>
      </c>
      <c r="P10" s="2" t="str" cm="1">
        <f t="array" ref="P10">_xlfn.IFS(OR(N10&lt;3,O10&lt;3),"Yes",TRUE,"No")</f>
        <v>Yes</v>
      </c>
    </row>
    <row r="11" spans="1:16" x14ac:dyDescent="0.35">
      <c r="A11" s="2">
        <v>10</v>
      </c>
      <c r="B11" s="3" t="s">
        <v>8</v>
      </c>
      <c r="C11" s="3">
        <v>112963</v>
      </c>
      <c r="D11" s="4">
        <v>45292</v>
      </c>
      <c r="E11" s="2" t="s">
        <v>6</v>
      </c>
      <c r="F11" s="2">
        <v>1</v>
      </c>
      <c r="G11" s="2" t="s">
        <v>24</v>
      </c>
      <c r="H11" s="2" t="s">
        <v>31</v>
      </c>
      <c r="I11" s="2">
        <v>2</v>
      </c>
      <c r="J11" s="2" t="s">
        <v>32</v>
      </c>
      <c r="K11" s="2">
        <v>3</v>
      </c>
      <c r="L11" s="2">
        <v>29</v>
      </c>
      <c r="M11" s="2">
        <v>2</v>
      </c>
      <c r="N11" s="10">
        <f t="shared" si="0"/>
        <v>2.3333333333333335</v>
      </c>
      <c r="O11" s="5">
        <v>2.3076923076923075</v>
      </c>
      <c r="P11" s="2" t="str" cm="1">
        <f t="array" ref="P11">_xlfn.IFS(OR(N11&lt;3,O11&lt;3),"Yes",TRUE,"No")</f>
        <v>Yes</v>
      </c>
    </row>
    <row r="12" spans="1:16" x14ac:dyDescent="0.35">
      <c r="A12" s="2">
        <v>11</v>
      </c>
      <c r="B12" s="3" t="s">
        <v>11</v>
      </c>
      <c r="C12" s="3">
        <v>113803</v>
      </c>
      <c r="D12" s="4">
        <v>45672</v>
      </c>
      <c r="E12" s="2" t="s">
        <v>7</v>
      </c>
      <c r="F12" s="2">
        <v>2</v>
      </c>
      <c r="G12" s="2" t="s">
        <v>25</v>
      </c>
      <c r="H12" s="2" t="s">
        <v>29</v>
      </c>
      <c r="I12" s="2">
        <v>3</v>
      </c>
      <c r="J12" s="2" t="s">
        <v>31</v>
      </c>
      <c r="K12" s="2">
        <v>4</v>
      </c>
      <c r="L12" s="2">
        <v>22</v>
      </c>
      <c r="M12" s="2">
        <v>3.5</v>
      </c>
      <c r="N12" s="10">
        <f t="shared" si="0"/>
        <v>3.5</v>
      </c>
      <c r="O12" s="5">
        <v>1.3</v>
      </c>
      <c r="P12" s="2" t="str" cm="1">
        <f t="array" ref="P12">_xlfn.IFS(OR(N12&lt;3,O12&lt;3),"Yes",TRUE,"No")</f>
        <v>Yes</v>
      </c>
    </row>
    <row r="13" spans="1:16" x14ac:dyDescent="0.35">
      <c r="A13" s="2">
        <v>12</v>
      </c>
      <c r="B13" s="3" t="s">
        <v>9</v>
      </c>
      <c r="C13" s="3">
        <v>114629</v>
      </c>
      <c r="D13" s="4">
        <v>45707</v>
      </c>
      <c r="E13" s="2" t="s">
        <v>6</v>
      </c>
      <c r="F13" s="2">
        <v>1</v>
      </c>
      <c r="G13" s="2" t="s">
        <v>25</v>
      </c>
      <c r="H13" s="2" t="s">
        <v>29</v>
      </c>
      <c r="I13" s="2">
        <v>3.5</v>
      </c>
      <c r="J13" s="2" t="s">
        <v>31</v>
      </c>
      <c r="K13" s="2">
        <v>3.5</v>
      </c>
      <c r="L13" s="2">
        <v>24</v>
      </c>
      <c r="M13" s="2">
        <v>3.5</v>
      </c>
      <c r="N13" s="10">
        <f t="shared" si="0"/>
        <v>3.5</v>
      </c>
      <c r="O13" s="5">
        <v>1.1675824175824177</v>
      </c>
      <c r="P13" s="2" t="str" cm="1">
        <f t="array" ref="P13">_xlfn.IFS(OR(N13&lt;3,O13&lt;3),"Yes",TRUE,"No")</f>
        <v>Yes</v>
      </c>
    </row>
    <row r="14" spans="1:16" x14ac:dyDescent="0.35">
      <c r="A14" s="2">
        <v>13</v>
      </c>
      <c r="B14" s="3" t="s">
        <v>19</v>
      </c>
      <c r="C14" s="3">
        <v>115054</v>
      </c>
      <c r="D14" s="4">
        <v>45681</v>
      </c>
      <c r="E14" s="2" t="s">
        <v>7</v>
      </c>
      <c r="F14" s="2">
        <v>2</v>
      </c>
      <c r="G14" s="2" t="s">
        <v>26</v>
      </c>
      <c r="H14" s="2" t="s">
        <v>33</v>
      </c>
      <c r="I14" s="2">
        <v>3.5</v>
      </c>
      <c r="J14" s="2" t="s">
        <v>29</v>
      </c>
      <c r="K14" s="2">
        <v>2.5</v>
      </c>
      <c r="L14" s="2">
        <v>23</v>
      </c>
      <c r="M14" s="2">
        <v>3.5</v>
      </c>
      <c r="N14" s="10">
        <f t="shared" si="0"/>
        <v>3.1666666666666665</v>
      </c>
      <c r="O14" s="5">
        <v>1.24</v>
      </c>
      <c r="P14" s="2" t="str" cm="1">
        <f t="array" ref="P14">_xlfn.IFS(OR(N14&lt;3,O14&lt;3),"Yes",TRUE,"No")</f>
        <v>Yes</v>
      </c>
    </row>
    <row r="15" spans="1:16" x14ac:dyDescent="0.35">
      <c r="O15" s="14"/>
    </row>
    <row r="16" spans="1:16" x14ac:dyDescent="0.35">
      <c r="D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grigi</dc:creator>
  <cp:lastModifiedBy>grigi</cp:lastModifiedBy>
  <dcterms:created xsi:type="dcterms:W3CDTF">2026-04-19T09:55:40Z</dcterms:created>
  <dcterms:modified xsi:type="dcterms:W3CDTF">2026-04-20T12:05:54Z</dcterms:modified>
</cp:coreProperties>
</file>